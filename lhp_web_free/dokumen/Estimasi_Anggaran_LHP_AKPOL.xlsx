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umsi" sheetId="1" state="visible" r:id="rId3"/>
    <sheet name="Modal Awal" sheetId="2" state="visible" r:id="rId4"/>
    <sheet name="Biaya Operasional" sheetId="3" state="visible" r:id="rId5"/>
    <sheet name="Proyeksi 3 Tahun" sheetId="4" state="visible" r:id="rId6"/>
    <sheet name="Skenario" sheetId="5" state="visible" r:id="rId7"/>
    <sheet name="Ringkasan" sheetId="6" state="visible" r:id="rId8"/>
    <sheet name="Opsi Penghemata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<sst xmlns="http://schemas.openxmlformats.org/spreadsheetml/2006/main" count="277" uniqueCount="210">
  <si>
    <t xml:space="preserve">ASUMSI DASAR</t>
  </si>
  <si>
    <t xml:space="preserve">Angka berwarna biru boleh diubah. Seluruh lembar lain mengikuti nilai di sini.</t>
  </si>
  <si>
    <t xml:space="preserve">No</t>
  </si>
  <si>
    <t xml:space="preserve">Keterangan</t>
  </si>
  <si>
    <t xml:space="preserve">Nilai</t>
  </si>
  <si>
    <t xml:space="preserve">Satuan</t>
  </si>
  <si>
    <t xml:space="preserve">Sumber / Catatan</t>
  </si>
  <si>
    <t xml:space="preserve">Kurs USD ke Rupiah</t>
  </si>
  <si>
    <t xml:space="preserve">Rp/USD</t>
  </si>
  <si>
    <t xml:space="preserve">Kurs tengah pasar, 9 September 2026 (Wise/Xe). Perbarui saat memaparkan.</t>
  </si>
  <si>
    <t xml:space="preserve">Tarif jasa pengembang</t>
  </si>
  <si>
    <t xml:space="preserve">Rp/jam</t>
  </si>
  <si>
    <t xml:space="preserve">Asumsi tarif wajar programmer lepas di Indonesia. Ubah sesuai kesepakatan.</t>
  </si>
  <si>
    <t xml:space="preserve">Tarif jasa pemeliharaan</t>
  </si>
  <si>
    <t xml:space="preserve">Disamakan dengan tarif pengembangan.</t>
  </si>
  <si>
    <t xml:space="preserve">Railway paket Pro</t>
  </si>
  <si>
    <t xml:space="preserve">USD/bulan</t>
  </si>
  <si>
    <t xml:space="preserve">Naik dari paket Hobby. Harga resmi USD 20; USD 25 dipakai sehingga sudah termasuk penyangga USD 5 untuk kelebihan pemakaian.</t>
  </si>
  <si>
    <t xml:space="preserve">Tambahan CPU dan RAM</t>
  </si>
  <si>
    <t xml:space="preserve">CPU USD 20/vCPU/bln, RAM USD 10/GB/bln. Diukur untuk 980 taruna.</t>
  </si>
  <si>
    <t xml:space="preserve">Basis data terkelola PostgreSQL</t>
  </si>
  <si>
    <t xml:space="preserve">Pengganti berkas JSON. Tahan tulis bersamaan dan tidak rusak saat aplikasi mati.</t>
  </si>
  <si>
    <t xml:space="preserve">Penyimpanan volume</t>
  </si>
  <si>
    <t xml:space="preserve">Ditetapkan tetap USD 1 per bulan.</t>
  </si>
  <si>
    <t xml:space="preserve">Pengali volume</t>
  </si>
  <si>
    <t xml:space="preserve">(tetap 1)</t>
  </si>
  <si>
    <t xml:space="preserve">Dibiarkan 1 agar biaya penyimpanan tepat USD 1 per bulan.</t>
  </si>
  <si>
    <t xml:space="preserve">Cloudflare paket Pro</t>
  </si>
  <si>
    <t xml:space="preserve">Tameng WAF, penahan serangan DDoS, dan jaringan pengantar isi agar akses cepat.</t>
  </si>
  <si>
    <t xml:space="preserve">Pemantauan dan pelacak galat</t>
  </si>
  <si>
    <t xml:space="preserve">Pemberitahuan bila situs mati atau muncul galat, sebelum taruna melapor.</t>
  </si>
  <si>
    <t xml:space="preserve">Pencadangan luar lokasi</t>
  </si>
  <si>
    <t xml:space="preserve">Salinan data akun disimpan di luar Railway, aman bila terjadi kegagalan.</t>
  </si>
  <si>
    <t xml:space="preserve">Lingkungan uji terpisah</t>
  </si>
  <si>
    <t xml:space="preserve">Menguji perubahan sebelum naik ke situs asli agar tidak mengganggu pemakai.</t>
  </si>
  <si>
    <t xml:space="preserve">Domain .com per tahun</t>
  </si>
  <si>
    <t xml:space="preserve">USD/tahun</t>
  </si>
  <si>
    <t xml:space="preserve">Layanan hosting domain, dibayar sekali setahun.</t>
  </si>
  <si>
    <t xml:space="preserve">Cadangan tak terduga</t>
  </si>
  <si>
    <t xml:space="preserve">persen</t>
  </si>
  <si>
    <t xml:space="preserve">Penyangga 10% untuk kenaikan harga dan kebutuhan mendadak.</t>
  </si>
  <si>
    <t xml:space="preserve">Kenaikan biaya per tahun</t>
  </si>
  <si>
    <t xml:space="preserve">Asumsi inflasi biaya layanan 5% per tahun.</t>
  </si>
  <si>
    <t xml:space="preserve">Keterangan warna</t>
  </si>
  <si>
    <t xml:space="preserve">Biru dengan latar kuning</t>
  </si>
  <si>
    <t xml:space="preserve">Angka masukan — boleh diubah</t>
  </si>
  <si>
    <t xml:space="preserve">Hitam</t>
  </si>
  <si>
    <t xml:space="preserve">Hasil rumus — jangan diketik ulang</t>
  </si>
  <si>
    <t xml:space="preserve">Hijau</t>
  </si>
  <si>
    <t xml:space="preserve">Tautan dari lembar lain</t>
  </si>
  <si>
    <t xml:space="preserve">MODAL AWAL — BIAYA PEMBUATAN</t>
  </si>
  <si>
    <t xml:space="preserve">Dua kolom biaya dipisah: nilai jasa setara pasar, dan uang tunai yang benar-benar dikeluarkan.</t>
  </si>
  <si>
    <t xml:space="preserve">Komponen Pekerjaan</t>
  </si>
  <si>
    <t xml:space="preserve">Jam</t>
  </si>
  <si>
    <t xml:space="preserve">Nilai Jasa (setara pasar)</t>
  </si>
  <si>
    <t xml:space="preserve">Biaya Tunai Riil</t>
  </si>
  <si>
    <t xml:space="preserve">Antarmuka dan desain tampilan</t>
  </si>
  <si>
    <t xml:space="preserve">Tata letak, warna, jenis huruf, tampilan ponsel, unggah foto.</t>
  </si>
  <si>
    <t xml:space="preserve">Penyusunan data satuan</t>
  </si>
  <si>
    <t xml:space="preserve">Merapikan data pengasuh TK II dan TK III berikut NRP.</t>
  </si>
  <si>
    <t xml:space="preserve">Pengujian dan perbaikan</t>
  </si>
  <si>
    <t xml:space="preserve">Uji seluruh halaman, perbaikan galat, uji berbagai jumlah foto.</t>
  </si>
  <si>
    <t xml:space="preserve">Penyiapan penempatan daring</t>
  </si>
  <si>
    <t xml:space="preserve">Penyiapan Railway, volume penyimpanan, dan domain.</t>
  </si>
  <si>
    <t xml:space="preserve">Jumlah jasa pengembangan</t>
  </si>
  <si>
    <t xml:space="preserve">Biaya di luar jasa</t>
  </si>
  <si>
    <t xml:space="preserve">Komponen</t>
  </si>
  <si>
    <t xml:space="preserve">Domain tahun pertama</t>
  </si>
  <si>
    <t xml:space="preserve">Nama situs, contoh lhpakpol.com. Wajib dibayar tunai.</t>
  </si>
  <si>
    <t xml:space="preserve">Perancangan logo dan aset gambar</t>
  </si>
  <si>
    <t xml:space="preserve">Memakai lambang resmi satuan, tidak ada biaya.</t>
  </si>
  <si>
    <t xml:space="preserve">Sertifikat SSL</t>
  </si>
  <si>
    <t xml:space="preserve">Sudah disediakan Railway tanpa biaya tambahan.</t>
  </si>
  <si>
    <t xml:space="preserve">Perangkat lunak pengembangan</t>
  </si>
  <si>
    <t xml:space="preserve">Python, Flask, dan pustaka lain bersifat sumber terbuka.</t>
  </si>
  <si>
    <t xml:space="preserve">Jumlah biaya lain</t>
  </si>
  <si>
    <t xml:space="preserve">TOTAL MODAL AWAL</t>
  </si>
  <si>
    <t xml:space="preserve">Catatan: kolom Biaya Tunai Riil bernilai nol untuk pekerjaan yang dikerjakan sendiri.</t>
  </si>
  <si>
    <t xml:space="preserve">Kolom Nilai Jasa menunjukkan berapa biayanya bila pekerjaan itu diserahkan kepada pihak ketiga.</t>
  </si>
  <si>
    <t xml:space="preserve">BIAYA OPERASIONAL — PEMELIHARAAN RUTIN</t>
  </si>
  <si>
    <t xml:space="preserve">Biaya yang berjalan terus selama situs aktif.</t>
  </si>
  <si>
    <t xml:space="preserve">A. Layanan daring</t>
  </si>
  <si>
    <t xml:space="preserve">Kolom Aktif: isi 1 bila dipakai, 0 bila tidak. Total menyesuaikan otomatis.</t>
  </si>
  <si>
    <t xml:space="preserve">Aktif</t>
  </si>
  <si>
    <t xml:space="preserve">Per Bulan (USD)</t>
  </si>
  <si>
    <t xml:space="preserve">Per Bulan (Rp)</t>
  </si>
  <si>
    <t xml:space="preserve">Per Tahun (Rp)</t>
  </si>
  <si>
    <t xml:space="preserve">Naik dari Hobby. Harga resmi USD 20; USD 25 dipakai sehingga termasuk penyangga untuk kelebihan pemakaian.</t>
  </si>
  <si>
    <t xml:space="preserve">Menjaga situs tetap ringan saat banyak taruna memakai bersamaan.</t>
  </si>
  <si>
    <t xml:space="preserve">Pengganti berkas JSON. Aman dari kerusakan data saat tulis bersamaan.</t>
  </si>
  <si>
    <t xml:space="preserve">Menyimpan data akun dan berkas agar tidak hilang saat pembaruan.</t>
  </si>
  <si>
    <t xml:space="preserve">Dimatikan. Diganti Cloudflare paket gratis: SSL, penahan DDoS, dan CDN.</t>
  </si>
  <si>
    <t xml:space="preserve">Dimatikan. Diganti UptimeRobot dan Sentry paket gratis.</t>
  </si>
  <si>
    <t xml:space="preserve">Salinan data disimpan di luar Railway sebagai jaring pengaman.</t>
  </si>
  <si>
    <t xml:space="preserve">Dimatikan. Pengujian dilakukan di komputer sendiri sebelum diunggah.</t>
  </si>
  <si>
    <t xml:space="preserve">Domain (dibagi 12 bulan)</t>
  </si>
  <si>
    <t xml:space="preserve">Layanan hosting domain USD 20 per tahun, dihitung bulanan.</t>
  </si>
  <si>
    <t xml:space="preserve">Jumlah layanan daring</t>
  </si>
  <si>
    <t xml:space="preserve">B. Tenaga pemeliharaan</t>
  </si>
  <si>
    <t xml:space="preserve">Kegiatan</t>
  </si>
  <si>
    <t xml:space="preserve">Pembaruan keamanan pustaka</t>
  </si>
  <si>
    <t xml:space="preserve">Memutakhirkan Flask dan pustaka lain bila ada celah keamanan.</t>
  </si>
  <si>
    <t xml:space="preserve">Dukungan pengguna</t>
  </si>
  <si>
    <t xml:space="preserve">Menjawab pertanyaan taruna dan mengatur ulang kata sandi.</t>
  </si>
  <si>
    <t xml:space="preserve">Jumlah tenaga pemeliharaan</t>
  </si>
  <si>
    <t xml:space="preserve">C. Rekapitulasi</t>
  </si>
  <si>
    <t xml:space="preserve">Layanan daring</t>
  </si>
  <si>
    <t xml:space="preserve">Tenaga pemeliharaan</t>
  </si>
  <si>
    <t xml:space="preserve">TOTAL BIAYA OPERASIONAL</t>
  </si>
  <si>
    <t xml:space="preserve">PROYEKSI BIAYA TIGA TAHUN</t>
  </si>
  <si>
    <t xml:space="preserve">Biaya layanan diasumsikan naik mengikuti angka kenaikan tahunan di lembar Asumsi.</t>
  </si>
  <si>
    <t xml:space="preserve">Uraian</t>
  </si>
  <si>
    <t xml:space="preserve">Tahun 1</t>
  </si>
  <si>
    <t xml:space="preserve">Tahun 2</t>
  </si>
  <si>
    <t xml:space="preserve">Tahun 3</t>
  </si>
  <si>
    <t xml:space="preserve">Jumlah 3 Tahun</t>
  </si>
  <si>
    <t xml:space="preserve">Modal awal (biaya tunai)</t>
  </si>
  <si>
    <t xml:space="preserve">Biaya operasional</t>
  </si>
  <si>
    <t xml:space="preserve">TOTAL PENGELUARAN</t>
  </si>
  <si>
    <t xml:space="preserve">Biaya per pengguna</t>
  </si>
  <si>
    <t xml:space="preserve">Perkiraan jumlah taruna pemakai</t>
  </si>
  <si>
    <t xml:space="preserve">orang (estimasi)</t>
  </si>
  <si>
    <t xml:space="preserve">Biaya operasional per orang per tahun</t>
  </si>
  <si>
    <t xml:space="preserve">Biaya operasional per orang per bulan</t>
  </si>
  <si>
    <t xml:space="preserve">SKENARIO SKALA PEMAKAIAN</t>
  </si>
  <si>
    <t xml:space="preserve">Biaya layanan naik mengikuti jumlah pemakai. Angka pemakaian sumber daya adalah perkiraan.</t>
  </si>
  <si>
    <t xml:space="preserve">Sekarang</t>
  </si>
  <si>
    <t xml:space="preserve">Target 980</t>
  </si>
  <si>
    <t xml:space="preserve">Bila bertambah</t>
  </si>
  <si>
    <t xml:space="preserve">Jumlah taruna pemakai</t>
  </si>
  <si>
    <t xml:space="preserve">Sekarang, target 980 taruna, dan bila bertambah lagi.</t>
  </si>
  <si>
    <t xml:space="preserve">Dokumen dibuat per bulan</t>
  </si>
  <si>
    <t xml:space="preserve">Sekitar tiga laporan per taruna.</t>
  </si>
  <si>
    <t xml:space="preserve">Tambahan CPU dan RAM (USD/bln)</t>
  </si>
  <si>
    <t xml:space="preserve">Makin ramai, makin besar sumber daya yang dipakai.</t>
  </si>
  <si>
    <t xml:space="preserve">Penyimpanan volume (GB)</t>
  </si>
  <si>
    <t xml:space="preserve">Data akun dan cadangan.</t>
  </si>
  <si>
    <t xml:space="preserve">Biaya menurut skenario</t>
  </si>
  <si>
    <t xml:space="preserve">Layanan daring per bulan</t>
  </si>
  <si>
    <t xml:space="preserve">Mengikuti pos yang aktif di lembar Biaya Operasional, ditambah domain.</t>
  </si>
  <si>
    <t xml:space="preserve">Tenaga pemeliharaan per bulan</t>
  </si>
  <si>
    <t xml:space="preserve">Diambil dari lembar Biaya Operasional, kolom per bulan.</t>
  </si>
  <si>
    <t xml:space="preserve">Sepuluh persen dari biaya di atasnya.</t>
  </si>
  <si>
    <t xml:space="preserve">Total per bulan</t>
  </si>
  <si>
    <t xml:space="preserve">Total per tahun</t>
  </si>
  <si>
    <t xml:space="preserve">Biaya per orang per bulan</t>
  </si>
  <si>
    <t xml:space="preserve">ESTIMASI ANGGARAN — WEBSITE LHP AKPOL</t>
  </si>
  <si>
    <t xml:space="preserve">Aplikasi penyusun Laporan Kegiatan Positif taruna. Disusun 9 September 2026.</t>
  </si>
  <si>
    <t xml:space="preserve">Angka utama</t>
  </si>
  <si>
    <t xml:space="preserve">Modal awal pembuatan</t>
  </si>
  <si>
    <t xml:space="preserve">Sekali bayar di awal.</t>
  </si>
  <si>
    <t xml:space="preserve">Biaya operasional per bulan</t>
  </si>
  <si>
    <t xml:space="preserve">Berjalan terus selama situs aktif.</t>
  </si>
  <si>
    <t xml:space="preserve">Biaya operasional per tahun</t>
  </si>
  <si>
    <t xml:space="preserve">Dua belas kali biaya bulanan.</t>
  </si>
  <si>
    <t xml:space="preserve">Total pengeluaran 3 tahun</t>
  </si>
  <si>
    <t xml:space="preserve">Catatan penting untuk paparan</t>
  </si>
  <si>
    <t xml:space="preserve">1. Situs ini gratis bagi taruna. Tidak ada pemasukan, sehingga seluruh biaya adalah pengeluaran.</t>
  </si>
  <si>
    <t xml:space="preserve">2. Biaya tunai yang benar-benar keluar hanya untuk domain dan sewa layanan daring.</t>
  </si>
  <si>
    <t xml:space="preserve">3. Kolom Nilai Jasa menunjukkan nilai pekerjaan bila diserahkan ke pihak ketiga.</t>
  </si>
  <si>
    <t xml:space="preserve">4. Volume penyimpanan wajib aktif. Tanpa itu, data akun hilang setiap kali aplikasi diperbarui.</t>
  </si>
  <si>
    <t xml:space="preserve">5. Beban terbesar setiap tahun adalah tenaga pemeliharaan, bukan sewa server.</t>
  </si>
  <si>
    <t xml:space="preserve">6. Seluruh angka pada lembar Asumsi dapat diubah dan hasilnya menyesuaikan otomatis.</t>
  </si>
  <si>
    <t xml:space="preserve">Isi berkas</t>
  </si>
  <si>
    <t xml:space="preserve">Asumsi</t>
  </si>
  <si>
    <t xml:space="preserve">Seluruh angka masukan. Ubah di sini.</t>
  </si>
  <si>
    <t xml:space="preserve">Modal Awal</t>
  </si>
  <si>
    <t xml:space="preserve">Rincian biaya pembuatan menurut komponen pekerjaan.</t>
  </si>
  <si>
    <t xml:space="preserve">Biaya Operasional</t>
  </si>
  <si>
    <t xml:space="preserve">Rincian biaya bulanan dan tahunan.</t>
  </si>
  <si>
    <t xml:space="preserve">Proyeksi 3 Tahun</t>
  </si>
  <si>
    <t xml:space="preserve">Perkiraan pengeluaran tiga tahun ke depan.</t>
  </si>
  <si>
    <t xml:space="preserve">Skenario</t>
  </si>
  <si>
    <t xml:space="preserve">Perbandingan biaya pada tiga tingkat jumlah pemakai.</t>
  </si>
  <si>
    <t xml:space="preserve">Opsi Penghematan</t>
  </si>
  <si>
    <t xml:space="preserve">Tiga pilihan paket beserta total tiga tahunnya.</t>
  </si>
  <si>
    <t xml:space="preserve">OPSI PAKET LAYANAN — BATAS ANGGARAN RP 50 JUTA / 3 TAHUN</t>
  </si>
  <si>
    <t xml:space="preserve">Ketiga paket diukur untuk melayani 980 taruna. Angka biru boleh diubah.</t>
  </si>
  <si>
    <t xml:space="preserve">Jumlah taruna yang dilayani</t>
  </si>
  <si>
    <t xml:space="preserve">Komponen (USD/bulan)</t>
  </si>
  <si>
    <t xml:space="preserve">A. Lengkap</t>
  </si>
  <si>
    <t xml:space="preserve">B. Seimbang</t>
  </si>
  <si>
    <t xml:space="preserve">C. Minimal</t>
  </si>
  <si>
    <t xml:space="preserve">Railway (langganan)</t>
  </si>
  <si>
    <t xml:space="preserve">Paket Pro USD 25 pada A dan B. C tetap Hobby USD 5 sebagai pembanding paling hemat.</t>
  </si>
  <si>
    <t xml:space="preserve">Diukur untuk 980 taruna. C hampir pasti lambat pada jam sibuk.</t>
  </si>
  <si>
    <t xml:space="preserve">Basis data PostgreSQL</t>
  </si>
  <si>
    <t xml:space="preserve">Penjaga kekokohan data. Sebaiknya dipertahankan; C kembali memakai berkas JSON.</t>
  </si>
  <si>
    <t xml:space="preserve">Pengali volume (tetap 1)</t>
  </si>
  <si>
    <t xml:space="preserve">Biaya penyimpanan ditetapkan USD 1 per bulan untuk semua paket.</t>
  </si>
  <si>
    <t xml:space="preserve">Cloudflare</t>
  </si>
  <si>
    <t xml:space="preserve">Paket gratis Cloudflare sudah memberi SSL, penahan DDoS, dan CDN.</t>
  </si>
  <si>
    <t xml:space="preserve">UptimeRobot dan Sentry punya paket gratis yang memadai untuk satu situs.</t>
  </si>
  <si>
    <t xml:space="preserve">Murah dan penting. Pada C dilakukan manual tanpa biaya.</t>
  </si>
  <si>
    <t xml:space="preserve">Pada B dan C, pengujian dilakukan di komputer sendiri sebelum diunggah.</t>
  </si>
  <si>
    <t xml:space="preserve">Jam pemeliharaan per tahun</t>
  </si>
  <si>
    <t xml:space="preserve">Mengikuti lembar Biaya Operasional: pembaruan keamanan dan dukungan pengguna.</t>
  </si>
  <si>
    <t xml:space="preserve">Hasil perhitungan</t>
  </si>
  <si>
    <t xml:space="preserve">Seluruh langganan ditambah domain.</t>
  </si>
  <si>
    <t xml:space="preserve">Jam kerja dibagi dua belas bulan.</t>
  </si>
  <si>
    <t xml:space="preserve">Sepuluh persen.</t>
  </si>
  <si>
    <t xml:space="preserve">Faktor 3 tahun (dengan kenaikan)</t>
  </si>
  <si>
    <t xml:space="preserve">TOTAL 3 TAHUN</t>
  </si>
  <si>
    <t xml:space="preserve">Batas anggaran</t>
  </si>
  <si>
    <t xml:space="preserve">Status terhadap batas</t>
  </si>
  <si>
    <t xml:space="preserve">Selisih terhadap batas</t>
  </si>
  <si>
    <t xml:space="preserve">Yang hilang bila memilih paket lebih murah</t>
  </si>
  <si>
    <t xml:space="preserve">B. Seimbang — kehilangan WAF Cloudflare berbayar, pemantauan berbayar, dan lingkungan uji terpisah. Penggantinya paket gratis yang untuk satu situs sekecil ini masih memadai. Basis data dan pencadangan tetap ada.</t>
  </si>
  <si>
    <t xml:space="preserve">C. Minimal — tidak disarankan pada 980 taruna. Tanpa basis data dan tanpa tambahan CPU, situs hampir pasti melambat pada jam sibuk dan data akun rawan rusak.</t>
  </si>
  <si>
    <t xml:space="preserve">Saran: pilih B. Sudah diukur untuk 980 taruna, kekokohan dan keamanan inti tetap terjaga, dan totalnya masih di bawah batas Rp 40 juta.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</si>
</sst>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p&quot;#,##0;&quot;(Rp&quot;#,##0\);\-"/>
    <numFmt numFmtId="166" formatCode="\$#,##0.00;&quot;($&quot;#,##0.00\);\-"/>
    <numFmt numFmtId="167" formatCode="#,##0;\(#,##0\);\-"/>
    <numFmt numFmtId="168" formatCode="0.0%"/>
    <numFmt numFmtId="169" formatCode="0.0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1917"/>
      <name val="Arial"/>
      <family val="0"/>
      <charset val="1"/>
    </font>
    <font>
      <i val="true"/>
      <sz val="9"/>
      <color rgb="FF6F676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6F6763"/>
      <name val="Arial"/>
      <family val="0"/>
      <charset val="1"/>
    </font>
    <font>
      <b val="true"/>
      <sz val="11"/>
      <color rgb="FF9E1B22"/>
      <name val="Arial"/>
      <family val="0"/>
      <charset val="1"/>
    </font>
    <font>
      <b val="true"/>
      <sz val="10"/>
      <color rgb="FF1C191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9E1B22"/>
        <bgColor rgb="FF800000"/>
      </patternFill>
    </fill>
    <fill>
      <patternFill patternType="solid">
        <fgColor rgb="FFFFF2B2"/>
        <bgColor rgb="FFF2EFEC"/>
      </patternFill>
    </fill>
    <fill>
      <patternFill patternType="solid">
        <fgColor rgb="FFF2EFE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9E1B22"/>
      </bottom>
      <diagonal/>
    </border>
    <border diagonalUp="false" diagonalDown="false">
      <left/>
      <right/>
      <top/>
      <bottom style="thin">
        <color rgb="FFD5D0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D0CA"/>
      <rgbColor rgb="FF808080"/>
      <rgbColor rgb="FF9999FF"/>
      <rgbColor rgb="FF993366"/>
      <rgbColor rgb="FFF2EF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B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F6763"/>
      <rgbColor rgb="FF969696"/>
      <rgbColor rgb="FF003366"/>
      <rgbColor rgb="FF339966"/>
      <rgbColor rgb="FF003300"/>
      <rgbColor rgb="FF1C1917"/>
      <rgbColor rgb="FF9E1B2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62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</row>
    <row r="6" customFormat="false" ht="15" hidden="false" customHeight="true" outlineLevel="0" collapsed="false">
      <c r="A6" s="5" t="n">
        <v>1</v>
      </c>
      <c r="B6" s="5" t="s">
        <v>7</v>
      </c>
      <c r="C6" s="6" t="n">
        <v>17700</v>
      </c>
      <c r="D6" s="5" t="s">
        <v>8</v>
      </c>
      <c r="E6" s="7" t="s">
        <v>9</v>
      </c>
    </row>
    <row r="7" customFormat="false" ht="15" hidden="false" customHeight="true" outlineLevel="0" collapsed="false">
      <c r="A7" s="5" t="n">
        <v>2</v>
      </c>
      <c r="B7" s="5" t="s">
        <v>10</v>
      </c>
      <c r="C7" s="6" t="n">
        <v>75000</v>
      </c>
      <c r="D7" s="5" t="s">
        <v>11</v>
      </c>
      <c r="E7" s="7" t="s">
        <v>12</v>
      </c>
    </row>
    <row r="8" customFormat="false" ht="15" hidden="false" customHeight="true" outlineLevel="0" collapsed="false">
      <c r="A8" s="5" t="n">
        <v>3</v>
      </c>
      <c r="B8" s="5" t="s">
        <v>13</v>
      </c>
      <c r="C8" s="6" t="n">
        <v>75000</v>
      </c>
      <c r="D8" s="5" t="s">
        <v>11</v>
      </c>
      <c r="E8" s="7" t="s">
        <v>14</v>
      </c>
    </row>
    <row r="9" customFormat="false" ht="21.75" hidden="false" customHeight="true" outlineLevel="0" collapsed="false">
      <c r="A9" s="5" t="n">
        <v>4</v>
      </c>
      <c r="B9" s="5" t="s">
        <v>15</v>
      </c>
      <c r="C9" s="8" t="n">
        <v>25</v>
      </c>
      <c r="D9" s="5" t="s">
        <v>16</v>
      </c>
      <c r="E9" s="7" t="s">
        <v>17</v>
      </c>
    </row>
    <row r="10" customFormat="false" ht="15" hidden="false" customHeight="true" outlineLevel="0" collapsed="false">
      <c r="A10" s="5" t="n">
        <v>5</v>
      </c>
      <c r="B10" s="5" t="s">
        <v>18</v>
      </c>
      <c r="C10" s="8" t="n">
        <v>16</v>
      </c>
      <c r="D10" s="5" t="s">
        <v>16</v>
      </c>
      <c r="E10" s="7" t="s">
        <v>19</v>
      </c>
    </row>
    <row r="11" customFormat="false" ht="15" hidden="false" customHeight="true" outlineLevel="0" collapsed="false">
      <c r="A11" s="5" t="n">
        <v>6</v>
      </c>
      <c r="B11" s="5" t="s">
        <v>20</v>
      </c>
      <c r="C11" s="8" t="n">
        <v>8</v>
      </c>
      <c r="D11" s="5" t="s">
        <v>16</v>
      </c>
      <c r="E11" s="7" t="s">
        <v>21</v>
      </c>
    </row>
    <row r="12" customFormat="false" ht="15" hidden="false" customHeight="true" outlineLevel="0" collapsed="false">
      <c r="A12" s="5" t="n">
        <v>7</v>
      </c>
      <c r="B12" s="5" t="s">
        <v>22</v>
      </c>
      <c r="C12" s="8" t="n">
        <v>1</v>
      </c>
      <c r="D12" s="5" t="s">
        <v>16</v>
      </c>
      <c r="E12" s="7" t="s">
        <v>23</v>
      </c>
    </row>
    <row r="13" customFormat="false" ht="15" hidden="false" customHeight="true" outlineLevel="0" collapsed="false">
      <c r="A13" s="5" t="n">
        <v>8</v>
      </c>
      <c r="B13" s="5" t="s">
        <v>24</v>
      </c>
      <c r="C13" s="9" t="n">
        <v>1</v>
      </c>
      <c r="D13" s="5" t="s">
        <v>25</v>
      </c>
      <c r="E13" s="7" t="s">
        <v>26</v>
      </c>
    </row>
    <row r="14" customFormat="false" ht="21.75" hidden="false" customHeight="true" outlineLevel="0" collapsed="false">
      <c r="A14" s="5" t="n">
        <v>9</v>
      </c>
      <c r="B14" s="5" t="s">
        <v>27</v>
      </c>
      <c r="C14" s="8" t="n">
        <v>20</v>
      </c>
      <c r="D14" s="5" t="s">
        <v>16</v>
      </c>
      <c r="E14" s="7" t="s">
        <v>28</v>
      </c>
    </row>
    <row r="15" customFormat="false" ht="15" hidden="false" customHeight="true" outlineLevel="0" collapsed="false">
      <c r="A15" s="5" t="n">
        <v>10</v>
      </c>
      <c r="B15" s="5" t="s">
        <v>29</v>
      </c>
      <c r="C15" s="8" t="n">
        <v>10</v>
      </c>
      <c r="D15" s="5" t="s">
        <v>16</v>
      </c>
      <c r="E15" s="7" t="s">
        <v>30</v>
      </c>
    </row>
    <row r="16" customFormat="false" ht="15" hidden="false" customHeight="true" outlineLevel="0" collapsed="false">
      <c r="A16" s="5" t="n">
        <v>11</v>
      </c>
      <c r="B16" s="5" t="s">
        <v>31</v>
      </c>
      <c r="C16" s="8" t="n">
        <v>3</v>
      </c>
      <c r="D16" s="5" t="s">
        <v>16</v>
      </c>
      <c r="E16" s="7" t="s">
        <v>32</v>
      </c>
    </row>
    <row r="17" customFormat="false" ht="15" hidden="false" customHeight="true" outlineLevel="0" collapsed="false">
      <c r="A17" s="5" t="n">
        <v>12</v>
      </c>
      <c r="B17" s="5" t="s">
        <v>33</v>
      </c>
      <c r="C17" s="8" t="n">
        <v>5</v>
      </c>
      <c r="D17" s="5" t="s">
        <v>16</v>
      </c>
      <c r="E17" s="7" t="s">
        <v>34</v>
      </c>
    </row>
    <row r="18" customFormat="false" ht="15" hidden="false" customHeight="true" outlineLevel="0" collapsed="false">
      <c r="A18" s="5" t="n">
        <v>13</v>
      </c>
      <c r="B18" s="5" t="s">
        <v>35</v>
      </c>
      <c r="C18" s="8" t="n">
        <v>20</v>
      </c>
      <c r="D18" s="5" t="s">
        <v>36</v>
      </c>
      <c r="E18" s="7" t="s">
        <v>37</v>
      </c>
    </row>
    <row r="19" customFormat="false" ht="15" hidden="false" customHeight="true" outlineLevel="0" collapsed="false">
      <c r="A19" s="5" t="n">
        <v>14</v>
      </c>
      <c r="B19" s="5" t="s">
        <v>38</v>
      </c>
      <c r="C19" s="10" t="n">
        <v>0.1</v>
      </c>
      <c r="D19" s="5" t="s">
        <v>39</v>
      </c>
      <c r="E19" s="7" t="s">
        <v>40</v>
      </c>
    </row>
    <row r="20" customFormat="false" ht="15" hidden="false" customHeight="true" outlineLevel="0" collapsed="false">
      <c r="A20" s="5" t="n">
        <v>15</v>
      </c>
      <c r="B20" s="5" t="s">
        <v>41</v>
      </c>
      <c r="C20" s="10" t="n">
        <v>0.05</v>
      </c>
      <c r="D20" s="5" t="s">
        <v>39</v>
      </c>
      <c r="E20" s="7" t="s">
        <v>42</v>
      </c>
    </row>
    <row r="23" customFormat="false" ht="15" hidden="false" customHeight="true" outlineLevel="0" collapsed="false">
      <c r="B23" s="11" t="s">
        <v>43</v>
      </c>
    </row>
    <row r="24" customFormat="false" ht="15" hidden="false" customHeight="true" outlineLevel="0" collapsed="false">
      <c r="B24" s="12" t="s">
        <v>44</v>
      </c>
      <c r="C24" s="13" t="s">
        <v>45</v>
      </c>
    </row>
    <row r="25" customFormat="false" ht="15" hidden="false" customHeight="true" outlineLevel="0" collapsed="false">
      <c r="B25" s="14" t="s">
        <v>46</v>
      </c>
      <c r="C25" s="13" t="s">
        <v>47</v>
      </c>
    </row>
    <row r="26" customFormat="false" ht="15" hidden="false" customHeight="true" outlineLevel="0" collapsed="false">
      <c r="B26" s="15" t="s">
        <v>48</v>
      </c>
      <c r="C26" s="13" t="s">
        <v>49</v>
      </c>
    </row>
  </sheetData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&amp;LEstimasi Anggaran LHP AKPOL&amp;R&amp;P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3" min="3" style="1" width="10"/>
    <col collapsed="false" customWidth="true" hidden="false" outlineLevel="0" max="5" min="4" style="1" width="18"/>
    <col collapsed="false" customWidth="true" hidden="false" outlineLevel="0" max="6" min="6" style="1" width="46"/>
  </cols>
  <sheetData>
    <row r="2" customFormat="false" ht="17.25" hidden="false" customHeight="true" outlineLevel="0" collapsed="false">
      <c r="B2" s="2" t="s">
        <v>50</v>
      </c>
    </row>
    <row r="3" customFormat="false" ht="15" hidden="false" customHeight="true" outlineLevel="0" collapsed="false">
      <c r="B3" s="3" t="s">
        <v>51</v>
      </c>
    </row>
    <row r="5" customFormat="false" ht="23.25" hidden="false" customHeight="true" outlineLevel="0" collapsed="false">
      <c r="A5" s="4" t="s">
        <v>2</v>
      </c>
      <c r="B5" s="4" t="s">
        <v>52</v>
      </c>
      <c r="C5" s="4" t="s">
        <v>53</v>
      </c>
      <c r="D5" s="4" t="s">
        <v>54</v>
      </c>
      <c r="E5" s="4" t="s">
        <v>55</v>
      </c>
      <c r="F5" s="4" t="s">
        <v>3</v>
      </c>
    </row>
    <row r="6" customFormat="false" ht="15" hidden="false" customHeight="true" outlineLevel="0" collapsed="false">
      <c r="A6" s="5" t="n">
        <v>1</v>
      </c>
      <c r="B6" s="5" t="s">
        <v>56</v>
      </c>
      <c r="C6" s="16" t="n">
        <v>24</v>
      </c>
      <c r="D6" s="17" t="n">
        <f aca="false">C6*Asumsi!$C$7</f>
        <v>1800000</v>
      </c>
      <c r="E6" s="17" t="n">
        <v>0</v>
      </c>
      <c r="F6" s="7" t="s">
        <v>57</v>
      </c>
    </row>
    <row r="7" customFormat="false" ht="15" hidden="false" customHeight="true" outlineLevel="0" collapsed="false">
      <c r="A7" s="5" t="n">
        <v>2</v>
      </c>
      <c r="B7" s="5" t="s">
        <v>58</v>
      </c>
      <c r="C7" s="16" t="n">
        <v>8</v>
      </c>
      <c r="D7" s="17" t="n">
        <f aca="false">C7*Asumsi!$C$7</f>
        <v>600000</v>
      </c>
      <c r="E7" s="17" t="n">
        <v>0</v>
      </c>
      <c r="F7" s="7" t="s">
        <v>59</v>
      </c>
    </row>
    <row r="8" customFormat="false" ht="21.75" hidden="false" customHeight="true" outlineLevel="0" collapsed="false">
      <c r="A8" s="5" t="n">
        <v>3</v>
      </c>
      <c r="B8" s="5" t="s">
        <v>60</v>
      </c>
      <c r="C8" s="16" t="n">
        <v>14</v>
      </c>
      <c r="D8" s="17" t="n">
        <f aca="false">C8*Asumsi!$C$7</f>
        <v>1050000</v>
      </c>
      <c r="E8" s="17" t="n">
        <v>0</v>
      </c>
      <c r="F8" s="7" t="s">
        <v>61</v>
      </c>
    </row>
    <row r="9" customFormat="false" ht="15" hidden="false" customHeight="true" outlineLevel="0" collapsed="false">
      <c r="A9" s="5" t="n">
        <v>4</v>
      </c>
      <c r="B9" s="5" t="s">
        <v>62</v>
      </c>
      <c r="C9" s="16" t="n">
        <v>6</v>
      </c>
      <c r="D9" s="17" t="n">
        <f aca="false">C9*Asumsi!$C$7</f>
        <v>450000</v>
      </c>
      <c r="E9" s="17" t="n">
        <v>0</v>
      </c>
      <c r="F9" s="7" t="s">
        <v>63</v>
      </c>
    </row>
    <row r="10" customFormat="false" ht="15" hidden="false" customHeight="true" outlineLevel="0" collapsed="false">
      <c r="B10" s="18" t="s">
        <v>64</v>
      </c>
      <c r="C10" s="19" t="n">
        <f aca="false">SUM(C6:C9)</f>
        <v>52</v>
      </c>
      <c r="D10" s="20" t="n">
        <f aca="false">SUM(D6:D9)</f>
        <v>3900000</v>
      </c>
      <c r="E10" s="20" t="n">
        <f aca="false">SUM(E6:E9)</f>
        <v>0</v>
      </c>
    </row>
    <row r="12" customFormat="false" ht="15" hidden="false" customHeight="true" outlineLevel="0" collapsed="false">
      <c r="B12" s="11" t="s">
        <v>65</v>
      </c>
    </row>
    <row r="13" customFormat="false" ht="23.25" hidden="false" customHeight="true" outlineLevel="0" collapsed="false">
      <c r="A13" s="4" t="s">
        <v>2</v>
      </c>
      <c r="B13" s="4" t="s">
        <v>66</v>
      </c>
      <c r="C13" s="4"/>
      <c r="D13" s="4" t="s">
        <v>54</v>
      </c>
      <c r="E13" s="4" t="s">
        <v>55</v>
      </c>
      <c r="F13" s="4" t="s">
        <v>3</v>
      </c>
    </row>
    <row r="14" customFormat="false" ht="15" hidden="false" customHeight="true" outlineLevel="0" collapsed="false">
      <c r="A14" s="5" t="n">
        <v>1</v>
      </c>
      <c r="B14" s="5" t="s">
        <v>67</v>
      </c>
      <c r="C14" s="21"/>
      <c r="D14" s="17" t="n">
        <f aca="false">Asumsi!$C$18*Asumsi!$C$6</f>
        <v>354000</v>
      </c>
      <c r="E14" s="17" t="n">
        <f aca="false">Asumsi!$C$18*Asumsi!$C$6</f>
        <v>354000</v>
      </c>
      <c r="F14" s="7" t="s">
        <v>68</v>
      </c>
    </row>
    <row r="15" customFormat="false" ht="15" hidden="false" customHeight="true" outlineLevel="0" collapsed="false">
      <c r="A15" s="5" t="n">
        <v>2</v>
      </c>
      <c r="B15" s="5" t="s">
        <v>69</v>
      </c>
      <c r="C15" s="21"/>
      <c r="D15" s="17" t="n">
        <v>0</v>
      </c>
      <c r="E15" s="17" t="n">
        <v>0</v>
      </c>
      <c r="F15" s="7" t="s">
        <v>70</v>
      </c>
    </row>
    <row r="16" customFormat="false" ht="15" hidden="false" customHeight="true" outlineLevel="0" collapsed="false">
      <c r="A16" s="5" t="n">
        <v>3</v>
      </c>
      <c r="B16" s="5" t="s">
        <v>71</v>
      </c>
      <c r="C16" s="21"/>
      <c r="D16" s="17" t="n">
        <v>0</v>
      </c>
      <c r="E16" s="17" t="n">
        <v>0</v>
      </c>
      <c r="F16" s="7" t="s">
        <v>72</v>
      </c>
    </row>
    <row r="17" customFormat="false" ht="15" hidden="false" customHeight="true" outlineLevel="0" collapsed="false">
      <c r="A17" s="5" t="n">
        <v>4</v>
      </c>
      <c r="B17" s="5" t="s">
        <v>73</v>
      </c>
      <c r="C17" s="21"/>
      <c r="D17" s="17" t="n">
        <v>0</v>
      </c>
      <c r="E17" s="17" t="n">
        <v>0</v>
      </c>
      <c r="F17" s="7" t="s">
        <v>74</v>
      </c>
    </row>
    <row r="18" customFormat="false" ht="15" hidden="false" customHeight="true" outlineLevel="0" collapsed="false">
      <c r="B18" s="18" t="s">
        <v>75</v>
      </c>
      <c r="D18" s="20" t="n">
        <f aca="false">SUM(D14:D17)</f>
        <v>354000</v>
      </c>
      <c r="E18" s="20" t="n">
        <f aca="false">SUM(E14:E17)</f>
        <v>354000</v>
      </c>
    </row>
    <row r="20" customFormat="false" ht="15" hidden="false" customHeight="true" outlineLevel="0" collapsed="false">
      <c r="A20" s="22"/>
      <c r="B20" s="23" t="s">
        <v>76</v>
      </c>
      <c r="C20" s="22"/>
      <c r="D20" s="24" t="n">
        <f aca="false">D10+D18</f>
        <v>4254000</v>
      </c>
      <c r="E20" s="24" t="n">
        <f aca="false">E10+E18</f>
        <v>354000</v>
      </c>
    </row>
    <row r="22" customFormat="false" ht="15" hidden="false" customHeight="true" outlineLevel="0" collapsed="false">
      <c r="B22" s="3" t="s">
        <v>77</v>
      </c>
    </row>
    <row r="23" customFormat="false" ht="15" hidden="false" customHeight="true" outlineLevel="0" collapsed="false">
      <c r="B23" s="3" t="s">
        <v>78</v>
      </c>
    </row>
  </sheetData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&amp;LEstimasi Anggaran LHP AKPOL&amp;R&amp;P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3" min="3" style="1" width="8"/>
    <col collapsed="false" customWidth="true" hidden="false" outlineLevel="0" max="6" min="4" style="1" width="15"/>
    <col collapsed="false" customWidth="true" hidden="false" outlineLevel="0" max="7" min="7" style="1" width="44"/>
  </cols>
  <sheetData>
    <row r="2" customFormat="false" ht="17.25" hidden="false" customHeight="true" outlineLevel="0" collapsed="false">
      <c r="B2" s="2" t="s">
        <v>79</v>
      </c>
    </row>
    <row r="3" customFormat="false" ht="15" hidden="false" customHeight="true" outlineLevel="0" collapsed="false">
      <c r="B3" s="3" t="s">
        <v>80</v>
      </c>
    </row>
    <row r="5" customFormat="false" ht="15" hidden="false" customHeight="true" outlineLevel="0" collapsed="false">
      <c r="B5" s="11" t="s">
        <v>81</v>
      </c>
    </row>
    <row r="6" customFormat="false" ht="15" hidden="false" customHeight="true" outlineLevel="0" collapsed="false">
      <c r="B6" s="3" t="s">
        <v>82</v>
      </c>
    </row>
    <row r="7" customFormat="false" ht="15" hidden="false" customHeight="true" outlineLevel="0" collapsed="false">
      <c r="A7" s="4" t="s">
        <v>2</v>
      </c>
      <c r="B7" s="4" t="s">
        <v>66</v>
      </c>
      <c r="C7" s="4" t="s">
        <v>83</v>
      </c>
      <c r="D7" s="4" t="s">
        <v>84</v>
      </c>
      <c r="E7" s="4" t="s">
        <v>85</v>
      </c>
      <c r="F7" s="4" t="s">
        <v>86</v>
      </c>
      <c r="G7" s="4" t="s">
        <v>3</v>
      </c>
    </row>
    <row r="8" customFormat="false" ht="21.75" hidden="false" customHeight="true" outlineLevel="0" collapsed="false">
      <c r="A8" s="5" t="n">
        <v>1</v>
      </c>
      <c r="B8" s="5" t="s">
        <v>15</v>
      </c>
      <c r="C8" s="25" t="n">
        <v>1</v>
      </c>
      <c r="D8" s="26" t="n">
        <f aca="false">(Asumsi!$C$9)*C8</f>
        <v>25</v>
      </c>
      <c r="E8" s="17" t="n">
        <f aca="false">D8*Asumsi!$C$6</f>
        <v>442500</v>
      </c>
      <c r="F8" s="17" t="n">
        <f aca="false">E8*12</f>
        <v>5310000</v>
      </c>
      <c r="G8" s="7" t="s">
        <v>87</v>
      </c>
    </row>
    <row r="9" customFormat="false" ht="21.75" hidden="false" customHeight="true" outlineLevel="0" collapsed="false">
      <c r="A9" s="5" t="n">
        <v>2</v>
      </c>
      <c r="B9" s="5" t="s">
        <v>18</v>
      </c>
      <c r="C9" s="25" t="n">
        <v>1</v>
      </c>
      <c r="D9" s="26" t="n">
        <f aca="false">(Asumsi!$C$10)*C9</f>
        <v>16</v>
      </c>
      <c r="E9" s="17" t="n">
        <f aca="false">D9*Asumsi!$C$6</f>
        <v>283200</v>
      </c>
      <c r="F9" s="17" t="n">
        <f aca="false">E9*12</f>
        <v>3398400</v>
      </c>
      <c r="G9" s="7" t="s">
        <v>88</v>
      </c>
    </row>
    <row r="10" customFormat="false" ht="21.75" hidden="false" customHeight="true" outlineLevel="0" collapsed="false">
      <c r="A10" s="5" t="n">
        <v>3</v>
      </c>
      <c r="B10" s="5" t="s">
        <v>20</v>
      </c>
      <c r="C10" s="25" t="n">
        <v>1</v>
      </c>
      <c r="D10" s="26" t="n">
        <f aca="false">(Asumsi!$C$11)*C10</f>
        <v>8</v>
      </c>
      <c r="E10" s="17" t="n">
        <f aca="false">D10*Asumsi!$C$6</f>
        <v>141600</v>
      </c>
      <c r="F10" s="17" t="n">
        <f aca="false">E10*12</f>
        <v>1699200</v>
      </c>
      <c r="G10" s="7" t="s">
        <v>89</v>
      </c>
    </row>
    <row r="11" customFormat="false" ht="21.75" hidden="false" customHeight="true" outlineLevel="0" collapsed="false">
      <c r="A11" s="5" t="n">
        <v>4</v>
      </c>
      <c r="B11" s="5" t="s">
        <v>22</v>
      </c>
      <c r="C11" s="25" t="n">
        <v>1</v>
      </c>
      <c r="D11" s="26" t="n">
        <f aca="false">(Asumsi!$C$12*Asumsi!$C$13)*C11</f>
        <v>1</v>
      </c>
      <c r="E11" s="17" t="n">
        <f aca="false">D11*Asumsi!$C$6</f>
        <v>17700</v>
      </c>
      <c r="F11" s="17" t="n">
        <f aca="false">E11*12</f>
        <v>212400</v>
      </c>
      <c r="G11" s="7" t="s">
        <v>90</v>
      </c>
    </row>
    <row r="12" customFormat="false" ht="21.75" hidden="false" customHeight="true" outlineLevel="0" collapsed="false">
      <c r="A12" s="5" t="n">
        <v>5</v>
      </c>
      <c r="B12" s="5" t="s">
        <v>27</v>
      </c>
      <c r="C12" s="25" t="n">
        <v>0</v>
      </c>
      <c r="D12" s="26" t="n">
        <f aca="false">(Asumsi!$C$14)*C12</f>
        <v>0</v>
      </c>
      <c r="E12" s="17" t="n">
        <f aca="false">D12*Asumsi!$C$6</f>
        <v>0</v>
      </c>
      <c r="F12" s="17" t="n">
        <f aca="false">E12*12</f>
        <v>0</v>
      </c>
      <c r="G12" s="7" t="s">
        <v>91</v>
      </c>
    </row>
    <row r="13" customFormat="false" ht="15" hidden="false" customHeight="true" outlineLevel="0" collapsed="false">
      <c r="A13" s="5" t="n">
        <v>6</v>
      </c>
      <c r="B13" s="5" t="s">
        <v>29</v>
      </c>
      <c r="C13" s="25" t="n">
        <v>0</v>
      </c>
      <c r="D13" s="26" t="n">
        <f aca="false">(Asumsi!$C$15)*C13</f>
        <v>0</v>
      </c>
      <c r="E13" s="17" t="n">
        <f aca="false">D13*Asumsi!$C$6</f>
        <v>0</v>
      </c>
      <c r="F13" s="17" t="n">
        <f aca="false">E13*12</f>
        <v>0</v>
      </c>
      <c r="G13" s="7" t="s">
        <v>92</v>
      </c>
    </row>
    <row r="14" customFormat="false" ht="21.75" hidden="false" customHeight="true" outlineLevel="0" collapsed="false">
      <c r="A14" s="5" t="n">
        <v>7</v>
      </c>
      <c r="B14" s="5" t="s">
        <v>31</v>
      </c>
      <c r="C14" s="25" t="n">
        <v>1</v>
      </c>
      <c r="D14" s="26" t="n">
        <f aca="false">(Asumsi!$C$16)*C14</f>
        <v>3</v>
      </c>
      <c r="E14" s="17" t="n">
        <f aca="false">D14*Asumsi!$C$6</f>
        <v>53100</v>
      </c>
      <c r="F14" s="17" t="n">
        <f aca="false">E14*12</f>
        <v>637200</v>
      </c>
      <c r="G14" s="7" t="s">
        <v>93</v>
      </c>
    </row>
    <row r="15" customFormat="false" ht="21.75" hidden="false" customHeight="true" outlineLevel="0" collapsed="false">
      <c r="A15" s="5" t="n">
        <v>8</v>
      </c>
      <c r="B15" s="5" t="s">
        <v>33</v>
      </c>
      <c r="C15" s="25" t="n">
        <v>0</v>
      </c>
      <c r="D15" s="26" t="n">
        <f aca="false">(Asumsi!$C$17)*C15</f>
        <v>0</v>
      </c>
      <c r="E15" s="17" t="n">
        <f aca="false">D15*Asumsi!$C$6</f>
        <v>0</v>
      </c>
      <c r="F15" s="17" t="n">
        <f aca="false">E15*12</f>
        <v>0</v>
      </c>
      <c r="G15" s="7" t="s">
        <v>94</v>
      </c>
    </row>
    <row r="16" customFormat="false" ht="21.75" hidden="false" customHeight="true" outlineLevel="0" collapsed="false">
      <c r="A16" s="5" t="n">
        <v>9</v>
      </c>
      <c r="B16" s="5" t="s">
        <v>95</v>
      </c>
      <c r="C16" s="25" t="n">
        <v>1</v>
      </c>
      <c r="D16" s="26" t="n">
        <f aca="false">(Asumsi!$C$18/12)*C16</f>
        <v>1.66666666666667</v>
      </c>
      <c r="E16" s="17" t="n">
        <f aca="false">D16*Asumsi!$C$6</f>
        <v>29500</v>
      </c>
      <c r="F16" s="17" t="n">
        <f aca="false">E16*12</f>
        <v>354000</v>
      </c>
      <c r="G16" s="7" t="s">
        <v>96</v>
      </c>
    </row>
    <row r="17" customFormat="false" ht="15" hidden="false" customHeight="true" outlineLevel="0" collapsed="false">
      <c r="B17" s="18" t="s">
        <v>97</v>
      </c>
      <c r="D17" s="27" t="n">
        <f aca="false">SUM(D8:D16)</f>
        <v>54.6666666666667</v>
      </c>
      <c r="E17" s="20" t="n">
        <f aca="false">SUM(E8:E16)</f>
        <v>967600</v>
      </c>
      <c r="F17" s="20" t="n">
        <f aca="false">SUM(F8:F16)</f>
        <v>11611200</v>
      </c>
    </row>
    <row r="19" customFormat="false" ht="15" hidden="false" customHeight="true" outlineLevel="0" collapsed="false">
      <c r="B19" s="11" t="s">
        <v>98</v>
      </c>
    </row>
    <row r="20" customFormat="false" ht="15" hidden="false" customHeight="true" outlineLevel="0" collapsed="false">
      <c r="A20" s="4" t="s">
        <v>2</v>
      </c>
      <c r="B20" s="4" t="s">
        <v>99</v>
      </c>
      <c r="C20" s="4" t="s">
        <v>53</v>
      </c>
      <c r="D20" s="4" t="s">
        <v>86</v>
      </c>
      <c r="E20" s="4" t="s">
        <v>85</v>
      </c>
      <c r="F20" s="4"/>
      <c r="G20" s="4" t="s">
        <v>3</v>
      </c>
    </row>
    <row r="21" customFormat="false" ht="21.75" hidden="false" customHeight="true" outlineLevel="0" collapsed="false">
      <c r="A21" s="5" t="n">
        <v>1</v>
      </c>
      <c r="B21" s="5" t="s">
        <v>100</v>
      </c>
      <c r="C21" s="16" t="n">
        <v>6</v>
      </c>
      <c r="D21" s="17" t="n">
        <f aca="false">C21*Asumsi!$C$8</f>
        <v>450000</v>
      </c>
      <c r="E21" s="17" t="n">
        <f aca="false">D21/12</f>
        <v>37500</v>
      </c>
      <c r="F21" s="21"/>
      <c r="G21" s="7" t="s">
        <v>101</v>
      </c>
    </row>
    <row r="22" customFormat="false" ht="21.75" hidden="false" customHeight="true" outlineLevel="0" collapsed="false">
      <c r="A22" s="5" t="n">
        <v>2</v>
      </c>
      <c r="B22" s="5" t="s">
        <v>102</v>
      </c>
      <c r="C22" s="16" t="n">
        <v>18</v>
      </c>
      <c r="D22" s="17" t="n">
        <f aca="false">C22*Asumsi!$C$8</f>
        <v>1350000</v>
      </c>
      <c r="E22" s="17" t="n">
        <f aca="false">D22/12</f>
        <v>112500</v>
      </c>
      <c r="F22" s="21"/>
      <c r="G22" s="7" t="s">
        <v>103</v>
      </c>
    </row>
    <row r="23" customFormat="false" ht="15" hidden="false" customHeight="true" outlineLevel="0" collapsed="false">
      <c r="B23" s="18" t="s">
        <v>104</v>
      </c>
      <c r="C23" s="28" t="n">
        <f aca="false">SUM(C21:C22)</f>
        <v>24</v>
      </c>
      <c r="D23" s="20" t="n">
        <f aca="false">SUM(D21:D22)</f>
        <v>1800000</v>
      </c>
      <c r="E23" s="20" t="n">
        <f aca="false">SUM(E21:E22)</f>
        <v>150000</v>
      </c>
    </row>
    <row r="25" customFormat="false" ht="15" hidden="false" customHeight="true" outlineLevel="0" collapsed="false">
      <c r="B25" s="11" t="s">
        <v>105</v>
      </c>
      <c r="D25" s="29" t="s">
        <v>85</v>
      </c>
      <c r="E25" s="29" t="s">
        <v>86</v>
      </c>
    </row>
    <row r="26" customFormat="false" ht="15" hidden="false" customHeight="true" outlineLevel="0" collapsed="false">
      <c r="B26" s="5" t="s">
        <v>106</v>
      </c>
      <c r="D26" s="17" t="n">
        <f aca="false">E26/12</f>
        <v>967600</v>
      </c>
      <c r="E26" s="17" t="n">
        <f aca="false">F17</f>
        <v>11611200</v>
      </c>
    </row>
    <row r="27" customFormat="false" ht="15" hidden="false" customHeight="true" outlineLevel="0" collapsed="false">
      <c r="B27" s="5" t="s">
        <v>107</v>
      </c>
      <c r="D27" s="17" t="n">
        <f aca="false">E27/12</f>
        <v>150000</v>
      </c>
      <c r="E27" s="17" t="n">
        <f aca="false">D23</f>
        <v>1800000</v>
      </c>
    </row>
    <row r="28" customFormat="false" ht="15" hidden="false" customHeight="true" outlineLevel="0" collapsed="false">
      <c r="B28" s="5" t="s">
        <v>38</v>
      </c>
      <c r="D28" s="17" t="n">
        <f aca="false">E28/12</f>
        <v>111760</v>
      </c>
      <c r="E28" s="17" t="n">
        <f aca="false">(E26+E27)*Asumsi!$C$19</f>
        <v>1341120</v>
      </c>
    </row>
    <row r="29" customFormat="false" ht="15" hidden="false" customHeight="true" outlineLevel="0" collapsed="false">
      <c r="A29" s="22"/>
      <c r="B29" s="23" t="s">
        <v>108</v>
      </c>
      <c r="C29" s="22"/>
      <c r="D29" s="24" t="n">
        <f aca="false">SUM(D26:D28)</f>
        <v>1229360</v>
      </c>
      <c r="E29" s="24" t="n">
        <f aca="false">SUM(E26:E28)</f>
        <v>14752320</v>
      </c>
    </row>
  </sheetData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&amp;LEstimasi Anggaran LHP AKPOL&amp;R&amp;P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6" min="3" style="1" width="20"/>
  </cols>
  <sheetData>
    <row r="2" customFormat="false" ht="17.25" hidden="false" customHeight="true" outlineLevel="0" collapsed="false">
      <c r="B2" s="2" t="s">
        <v>109</v>
      </c>
    </row>
    <row r="3" customFormat="false" ht="15" hidden="false" customHeight="true" outlineLevel="0" collapsed="false">
      <c r="B3" s="3" t="s">
        <v>110</v>
      </c>
    </row>
    <row r="5" customFormat="false" ht="15" hidden="false" customHeight="true" outlineLevel="0" collapsed="false">
      <c r="A5" s="4" t="s">
        <v>2</v>
      </c>
      <c r="B5" s="4" t="s">
        <v>111</v>
      </c>
      <c r="C5" s="4" t="s">
        <v>112</v>
      </c>
      <c r="D5" s="4" t="s">
        <v>113</v>
      </c>
      <c r="E5" s="4" t="s">
        <v>114</v>
      </c>
      <c r="F5" s="4" t="s">
        <v>115</v>
      </c>
    </row>
    <row r="6" customFormat="false" ht="15" hidden="false" customHeight="true" outlineLevel="0" collapsed="false">
      <c r="A6" s="5" t="n">
        <v>1</v>
      </c>
      <c r="B6" s="5" t="s">
        <v>116</v>
      </c>
      <c r="C6" s="30" t="n">
        <f aca="false">'Modal Awal'!$E$20</f>
        <v>354000</v>
      </c>
      <c r="D6" s="17" t="n">
        <v>0</v>
      </c>
      <c r="E6" s="17" t="n">
        <v>0</v>
      </c>
      <c r="F6" s="31" t="n">
        <f aca="false">SUM(C6:E6)</f>
        <v>354000</v>
      </c>
    </row>
    <row r="7" customFormat="false" ht="15" hidden="false" customHeight="true" outlineLevel="0" collapsed="false">
      <c r="A7" s="5" t="n">
        <v>2</v>
      </c>
      <c r="B7" s="5" t="s">
        <v>117</v>
      </c>
      <c r="C7" s="30" t="n">
        <f aca="false">'Biaya Operasional'!$E$29</f>
        <v>14752320</v>
      </c>
      <c r="D7" s="17" t="n">
        <f aca="false">C7*(1+Asumsi!$C$20)</f>
        <v>15489936</v>
      </c>
      <c r="E7" s="17" t="n">
        <f aca="false">D7*(1+Asumsi!$C$20)</f>
        <v>16264432.8</v>
      </c>
      <c r="F7" s="31" t="n">
        <f aca="false">SUM(C7:E7)</f>
        <v>46506688.8</v>
      </c>
    </row>
    <row r="8" customFormat="false" ht="15" hidden="false" customHeight="true" outlineLevel="0" collapsed="false">
      <c r="A8" s="22"/>
      <c r="B8" s="23" t="s">
        <v>118</v>
      </c>
      <c r="C8" s="24" t="n">
        <f aca="false">SUM(C6:C7)</f>
        <v>15106320</v>
      </c>
      <c r="D8" s="24" t="n">
        <f aca="false">SUM(D6:D7)</f>
        <v>15489936</v>
      </c>
      <c r="E8" s="24" t="n">
        <f aca="false">SUM(E6:E7)</f>
        <v>16264432.8</v>
      </c>
      <c r="F8" s="24" t="n">
        <f aca="false">SUM(F6:F7)</f>
        <v>46860688.8</v>
      </c>
    </row>
    <row r="10" customFormat="false" ht="15" hidden="false" customHeight="true" outlineLevel="0" collapsed="false">
      <c r="B10" s="11" t="s">
        <v>119</v>
      </c>
    </row>
    <row r="11" customFormat="false" ht="15" hidden="false" customHeight="true" outlineLevel="0" collapsed="false">
      <c r="B11" s="13" t="s">
        <v>120</v>
      </c>
      <c r="C11" s="32" t="n">
        <v>980</v>
      </c>
      <c r="D11" s="33" t="s">
        <v>121</v>
      </c>
    </row>
    <row r="12" customFormat="false" ht="15" hidden="false" customHeight="true" outlineLevel="0" collapsed="false">
      <c r="B12" s="13" t="s">
        <v>122</v>
      </c>
      <c r="C12" s="34" t="n">
        <f aca="false">IF(C11=0,0,'Biaya Operasional'!$E$29/C11)</f>
        <v>15053.387755102</v>
      </c>
    </row>
    <row r="13" customFormat="false" ht="15" hidden="false" customHeight="true" outlineLevel="0" collapsed="false">
      <c r="B13" s="13" t="s">
        <v>123</v>
      </c>
      <c r="C13" s="34" t="n">
        <f aca="false">IF(C11=0,0,'Biaya Operasional'!$D$29/C11)</f>
        <v>1254.44897959184</v>
      </c>
    </row>
  </sheetData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&amp;LEstimasi Anggaran LHP AKPOL&amp;R&amp;P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5" min="3" style="1" width="20"/>
    <col collapsed="false" customWidth="true" hidden="false" outlineLevel="0" max="6" min="6" style="1" width="44"/>
  </cols>
  <sheetData>
    <row r="2" customFormat="false" ht="17.25" hidden="false" customHeight="true" outlineLevel="0" collapsed="false">
      <c r="B2" s="2" t="s">
        <v>124</v>
      </c>
    </row>
    <row r="3" customFormat="false" ht="15" hidden="false" customHeight="true" outlineLevel="0" collapsed="false">
      <c r="B3" s="3" t="s">
        <v>125</v>
      </c>
    </row>
    <row r="5" customFormat="false" ht="15" hidden="false" customHeight="true" outlineLevel="0" collapsed="false">
      <c r="A5" s="4" t="s">
        <v>2</v>
      </c>
      <c r="B5" s="4" t="s">
        <v>111</v>
      </c>
      <c r="C5" s="4" t="s">
        <v>126</v>
      </c>
      <c r="D5" s="4" t="s">
        <v>127</v>
      </c>
      <c r="E5" s="4" t="s">
        <v>128</v>
      </c>
      <c r="F5" s="4" t="s">
        <v>3</v>
      </c>
    </row>
    <row r="6" customFormat="false" ht="15" hidden="false" customHeight="true" outlineLevel="0" collapsed="false">
      <c r="A6" s="5" t="n">
        <v>1</v>
      </c>
      <c r="B6" s="5" t="s">
        <v>129</v>
      </c>
      <c r="C6" s="16" t="n">
        <v>400</v>
      </c>
      <c r="D6" s="16" t="n">
        <v>980</v>
      </c>
      <c r="E6" s="16" t="n">
        <v>1400</v>
      </c>
      <c r="F6" s="7" t="s">
        <v>130</v>
      </c>
    </row>
    <row r="7" customFormat="false" ht="15" hidden="false" customHeight="true" outlineLevel="0" collapsed="false">
      <c r="A7" s="5" t="n">
        <v>2</v>
      </c>
      <c r="B7" s="5" t="s">
        <v>131</v>
      </c>
      <c r="C7" s="16" t="n">
        <v>1200</v>
      </c>
      <c r="D7" s="16" t="n">
        <v>2900</v>
      </c>
      <c r="E7" s="16" t="n">
        <v>4200</v>
      </c>
      <c r="F7" s="7" t="s">
        <v>132</v>
      </c>
    </row>
    <row r="8" customFormat="false" ht="15" hidden="false" customHeight="true" outlineLevel="0" collapsed="false">
      <c r="A8" s="5" t="n">
        <v>3</v>
      </c>
      <c r="B8" s="5" t="s">
        <v>133</v>
      </c>
      <c r="C8" s="16" t="n">
        <v>8</v>
      </c>
      <c r="D8" s="16" t="n">
        <v>16</v>
      </c>
      <c r="E8" s="16" t="n">
        <v>26</v>
      </c>
      <c r="F8" s="7" t="s">
        <v>134</v>
      </c>
    </row>
    <row r="9" customFormat="false" ht="15" hidden="false" customHeight="true" outlineLevel="0" collapsed="false">
      <c r="A9" s="5" t="n">
        <v>4</v>
      </c>
      <c r="B9" s="5" t="s">
        <v>135</v>
      </c>
      <c r="C9" s="16" t="n">
        <v>1</v>
      </c>
      <c r="D9" s="16" t="n">
        <v>2</v>
      </c>
      <c r="E9" s="16" t="n">
        <v>3</v>
      </c>
      <c r="F9" s="7" t="s">
        <v>136</v>
      </c>
    </row>
    <row r="11" customFormat="false" ht="15" hidden="false" customHeight="true" outlineLevel="0" collapsed="false">
      <c r="B11" s="11" t="s">
        <v>137</v>
      </c>
    </row>
    <row r="12" customFormat="false" ht="15" hidden="false" customHeight="true" outlineLevel="0" collapsed="false">
      <c r="A12" s="4" t="s">
        <v>2</v>
      </c>
      <c r="B12" s="4" t="s">
        <v>111</v>
      </c>
      <c r="C12" s="4" t="s">
        <v>126</v>
      </c>
      <c r="D12" s="4" t="s">
        <v>127</v>
      </c>
      <c r="E12" s="4" t="s">
        <v>128</v>
      </c>
      <c r="F12" s="4" t="s">
        <v>3</v>
      </c>
    </row>
    <row r="13" customFormat="false" ht="21.75" hidden="false" customHeight="true" outlineLevel="0" collapsed="false">
      <c r="A13" s="5" t="n">
        <v>1</v>
      </c>
      <c r="B13" s="5" t="s">
        <v>138</v>
      </c>
      <c r="C13" s="17" t="n">
        <f aca="false">(Asumsi!$C$9+C8+Asumsi!$C$11+C9*Asumsi!$C$12+Asumsi!$C$16)*Asumsi!$C$6+Asumsi!$C$18*Asumsi!$C$6/12</f>
        <v>826000</v>
      </c>
      <c r="D13" s="17" t="n">
        <f aca="false">(Asumsi!$C$9+D8+Asumsi!$C$11+D9*Asumsi!$C$12+Asumsi!$C$16)*Asumsi!$C$6+Asumsi!$C$18*Asumsi!$C$6/12</f>
        <v>985300</v>
      </c>
      <c r="E13" s="17" t="n">
        <f aca="false">(Asumsi!$C$9+E8+Asumsi!$C$11+E9*Asumsi!$C$12+Asumsi!$C$16)*Asumsi!$C$6+Asumsi!$C$18*Asumsi!$C$6/12</f>
        <v>1180000</v>
      </c>
      <c r="F13" s="7" t="s">
        <v>139</v>
      </c>
    </row>
    <row r="14" customFormat="false" ht="15" hidden="false" customHeight="true" outlineLevel="0" collapsed="false">
      <c r="A14" s="5" t="n">
        <v>2</v>
      </c>
      <c r="B14" s="5" t="s">
        <v>140</v>
      </c>
      <c r="C14" s="17" t="n">
        <f aca="false">'Biaya Operasional'!$E$23</f>
        <v>150000</v>
      </c>
      <c r="D14" s="17" t="n">
        <f aca="false">'Biaya Operasional'!$E$23</f>
        <v>150000</v>
      </c>
      <c r="E14" s="17" t="n">
        <f aca="false">'Biaya Operasional'!$E$23</f>
        <v>150000</v>
      </c>
      <c r="F14" s="7" t="s">
        <v>141</v>
      </c>
    </row>
    <row r="15" customFormat="false" ht="15" hidden="false" customHeight="true" outlineLevel="0" collapsed="false">
      <c r="A15" s="5" t="n">
        <v>3</v>
      </c>
      <c r="B15" s="5" t="s">
        <v>38</v>
      </c>
      <c r="C15" s="17" t="n">
        <f aca="false">(C13+C14)*Asumsi!$C$19</f>
        <v>97600</v>
      </c>
      <c r="D15" s="17" t="n">
        <f aca="false">(D13+D14)*Asumsi!$C$19</f>
        <v>113530</v>
      </c>
      <c r="E15" s="17" t="n">
        <f aca="false">(E13+E14)*Asumsi!$C$19</f>
        <v>133000</v>
      </c>
      <c r="F15" s="7" t="s">
        <v>142</v>
      </c>
    </row>
    <row r="16" customFormat="false" ht="15" hidden="false" customHeight="true" outlineLevel="0" collapsed="false">
      <c r="A16" s="22"/>
      <c r="B16" s="35" t="s">
        <v>143</v>
      </c>
      <c r="C16" s="36" t="n">
        <f aca="false">SUM(C13:C15)</f>
        <v>1073600</v>
      </c>
      <c r="D16" s="36" t="n">
        <f aca="false">SUM(D13:D15)</f>
        <v>1248830</v>
      </c>
      <c r="E16" s="36" t="n">
        <f aca="false">SUM(E13:E15)</f>
        <v>1463000</v>
      </c>
      <c r="F16" s="22"/>
    </row>
    <row r="17" customFormat="false" ht="15" hidden="false" customHeight="true" outlineLevel="0" collapsed="false">
      <c r="B17" s="37" t="s">
        <v>144</v>
      </c>
      <c r="C17" s="38" t="n">
        <f aca="false">C16*12</f>
        <v>12883200</v>
      </c>
      <c r="D17" s="38" t="n">
        <f aca="false">D16*12</f>
        <v>14985960</v>
      </c>
      <c r="E17" s="38" t="n">
        <f aca="false">E16*12</f>
        <v>17556000</v>
      </c>
    </row>
    <row r="18" customFormat="false" ht="15" hidden="false" customHeight="true" outlineLevel="0" collapsed="false">
      <c r="B18" s="13" t="s">
        <v>145</v>
      </c>
      <c r="C18" s="34" t="n">
        <f aca="false">IF(C6=0,0,C16/C6)</f>
        <v>2684</v>
      </c>
      <c r="D18" s="34" t="n">
        <f aca="false">IF(D6=0,0,D16/D6)</f>
        <v>1274.31632653061</v>
      </c>
      <c r="E18" s="34" t="n">
        <f aca="false">IF(E6=0,0,E16/E6)</f>
        <v>1045</v>
      </c>
    </row>
  </sheetData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&amp;LEstimasi Anggaran LHP AKPOL&amp;R&amp;P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4"/>
    <col collapsed="false" customWidth="true" hidden="false" outlineLevel="0" max="4" min="3" style="1" width="24"/>
    <col collapsed="false" customWidth="true" hidden="false" outlineLevel="0" max="5" min="5" style="1" width="40"/>
  </cols>
  <sheetData>
    <row r="2" customFormat="false" ht="17.25" hidden="false" customHeight="true" outlineLevel="0" collapsed="false">
      <c r="B2" s="2" t="s">
        <v>146</v>
      </c>
    </row>
    <row r="3" customFormat="false" ht="15" hidden="false" customHeight="true" outlineLevel="0" collapsed="false">
      <c r="B3" s="3" t="s">
        <v>147</v>
      </c>
    </row>
    <row r="5" customFormat="false" ht="15" hidden="false" customHeight="true" outlineLevel="0" collapsed="false">
      <c r="B5" s="11" t="s">
        <v>148</v>
      </c>
    </row>
    <row r="6" customFormat="false" ht="15" hidden="false" customHeight="true" outlineLevel="0" collapsed="false">
      <c r="A6" s="4" t="s">
        <v>2</v>
      </c>
      <c r="B6" s="4" t="s">
        <v>111</v>
      </c>
      <c r="C6" s="4" t="s">
        <v>54</v>
      </c>
      <c r="D6" s="4" t="s">
        <v>55</v>
      </c>
      <c r="E6" s="4" t="s">
        <v>3</v>
      </c>
    </row>
    <row r="7" customFormat="false" ht="15" hidden="false" customHeight="true" outlineLevel="0" collapsed="false">
      <c r="A7" s="5" t="n">
        <v>1</v>
      </c>
      <c r="B7" s="39" t="s">
        <v>149</v>
      </c>
      <c r="C7" s="40" t="n">
        <f aca="false">'Modal Awal'!$D$20</f>
        <v>4254000</v>
      </c>
      <c r="D7" s="40" t="n">
        <f aca="false">'Modal Awal'!$E$20</f>
        <v>354000</v>
      </c>
      <c r="E7" s="41" t="s">
        <v>150</v>
      </c>
    </row>
    <row r="8" customFormat="false" ht="15" hidden="false" customHeight="true" outlineLevel="0" collapsed="false">
      <c r="A8" s="5" t="n">
        <v>2</v>
      </c>
      <c r="B8" s="39" t="s">
        <v>151</v>
      </c>
      <c r="C8" s="40" t="n">
        <f aca="false">'Biaya Operasional'!$D$29</f>
        <v>1229360</v>
      </c>
      <c r="D8" s="40" t="n">
        <f aca="false">'Biaya Operasional'!$D$29</f>
        <v>1229360</v>
      </c>
      <c r="E8" s="41" t="s">
        <v>152</v>
      </c>
    </row>
    <row r="9" customFormat="false" ht="15" hidden="false" customHeight="true" outlineLevel="0" collapsed="false">
      <c r="A9" s="5" t="n">
        <v>3</v>
      </c>
      <c r="B9" s="39" t="s">
        <v>153</v>
      </c>
      <c r="C9" s="40" t="n">
        <f aca="false">'Biaya Operasional'!$E$29</f>
        <v>14752320</v>
      </c>
      <c r="D9" s="40" t="n">
        <f aca="false">'Biaya Operasional'!$E$29</f>
        <v>14752320</v>
      </c>
      <c r="E9" s="41" t="s">
        <v>154</v>
      </c>
    </row>
    <row r="10" customFormat="false" ht="15" hidden="false" customHeight="true" outlineLevel="0" collapsed="false">
      <c r="A10" s="22"/>
      <c r="B10" s="23" t="s">
        <v>155</v>
      </c>
      <c r="C10" s="22"/>
      <c r="D10" s="24" t="n">
        <f aca="false">'Proyeksi 3 Tahun'!$F$8</f>
        <v>46860688.8</v>
      </c>
      <c r="E10" s="22"/>
    </row>
    <row r="12" customFormat="false" ht="15" hidden="false" customHeight="true" outlineLevel="0" collapsed="false">
      <c r="B12" s="11" t="s">
        <v>156</v>
      </c>
    </row>
    <row r="13" customFormat="false" ht="15.75" hidden="false" customHeight="true" outlineLevel="0" collapsed="false">
      <c r="B13" s="42" t="s">
        <v>157</v>
      </c>
      <c r="C13" s="42"/>
      <c r="D13" s="42"/>
      <c r="E13" s="42"/>
    </row>
    <row r="14" customFormat="false" ht="15.75" hidden="false" customHeight="true" outlineLevel="0" collapsed="false">
      <c r="B14" s="42" t="s">
        <v>158</v>
      </c>
      <c r="C14" s="42"/>
      <c r="D14" s="42"/>
      <c r="E14" s="42"/>
    </row>
    <row r="15" customFormat="false" ht="15.75" hidden="false" customHeight="true" outlineLevel="0" collapsed="false">
      <c r="B15" s="42" t="s">
        <v>159</v>
      </c>
      <c r="C15" s="42"/>
      <c r="D15" s="42"/>
      <c r="E15" s="42"/>
    </row>
    <row r="16" customFormat="false" ht="15.75" hidden="false" customHeight="true" outlineLevel="0" collapsed="false">
      <c r="B16" s="42" t="s">
        <v>160</v>
      </c>
      <c r="C16" s="42"/>
      <c r="D16" s="42"/>
      <c r="E16" s="42"/>
    </row>
    <row r="17" customFormat="false" ht="15.75" hidden="false" customHeight="true" outlineLevel="0" collapsed="false">
      <c r="B17" s="42" t="s">
        <v>161</v>
      </c>
      <c r="C17" s="42"/>
      <c r="D17" s="42"/>
      <c r="E17" s="42"/>
    </row>
    <row r="18" customFormat="false" ht="15.75" hidden="false" customHeight="true" outlineLevel="0" collapsed="false">
      <c r="B18" s="42" t="s">
        <v>162</v>
      </c>
      <c r="C18" s="42"/>
      <c r="D18" s="42"/>
      <c r="E18" s="42"/>
    </row>
    <row r="20" customFormat="false" ht="15" hidden="false" customHeight="true" outlineLevel="0" collapsed="false">
      <c r="B20" s="11" t="s">
        <v>163</v>
      </c>
    </row>
    <row r="21" customFormat="false" ht="15" hidden="false" customHeight="true" outlineLevel="0" collapsed="false">
      <c r="B21" s="18" t="s">
        <v>164</v>
      </c>
      <c r="C21" s="43" t="s">
        <v>165</v>
      </c>
      <c r="D21" s="43"/>
      <c r="E21" s="43"/>
    </row>
    <row r="22" customFormat="false" ht="15" hidden="false" customHeight="true" outlineLevel="0" collapsed="false">
      <c r="B22" s="18" t="s">
        <v>166</v>
      </c>
      <c r="C22" s="43" t="s">
        <v>167</v>
      </c>
      <c r="D22" s="43"/>
      <c r="E22" s="43"/>
    </row>
    <row r="23" customFormat="false" ht="15" hidden="false" customHeight="true" outlineLevel="0" collapsed="false">
      <c r="B23" s="18" t="s">
        <v>168</v>
      </c>
      <c r="C23" s="43" t="s">
        <v>169</v>
      </c>
      <c r="D23" s="43"/>
      <c r="E23" s="43"/>
    </row>
    <row r="24" customFormat="false" ht="15" hidden="false" customHeight="true" outlineLevel="0" collapsed="false">
      <c r="B24" s="18" t="s">
        <v>170</v>
      </c>
      <c r="C24" s="43" t="s">
        <v>171</v>
      </c>
      <c r="D24" s="43"/>
      <c r="E24" s="43"/>
    </row>
    <row r="25" customFormat="false" ht="15" hidden="false" customHeight="true" outlineLevel="0" collapsed="false">
      <c r="B25" s="18" t="s">
        <v>172</v>
      </c>
      <c r="C25" s="43" t="s">
        <v>173</v>
      </c>
      <c r="D25" s="43"/>
      <c r="E25" s="43"/>
    </row>
    <row r="26" customFormat="false" ht="15" hidden="false" customHeight="true" outlineLevel="0" collapsed="false">
      <c r="B26" s="18" t="s">
        <v>174</v>
      </c>
      <c r="C26" s="43" t="s">
        <v>175</v>
      </c>
      <c r="D26" s="43"/>
      <c r="E26" s="43"/>
    </row>
  </sheetData>
  <mergeCells count="12">
    <mergeCell ref="B13:E13"/>
    <mergeCell ref="B14:E14"/>
    <mergeCell ref="B15:E15"/>
    <mergeCell ref="B16:E16"/>
    <mergeCell ref="B17:E17"/>
    <mergeCell ref="B18:E18"/>
    <mergeCell ref="C21:E21"/>
    <mergeCell ref="C22:E22"/>
    <mergeCell ref="C23:E23"/>
    <mergeCell ref="C24:E24"/>
    <mergeCell ref="C25:E25"/>
    <mergeCell ref="C26:E26"/>
  </mergeCell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&amp;LEstimasi Anggaran LHP AKPOL&amp;R&amp;P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5" min="3" style="1" width="17"/>
    <col collapsed="false" customWidth="true" hidden="false" outlineLevel="0" max="6" min="6" style="1" width="46"/>
  </cols>
  <sheetData>
    <row r="2" customFormat="false" ht="17.25" hidden="false" customHeight="true" outlineLevel="0" collapsed="false">
      <c r="B2" s="2" t="s">
        <v>176</v>
      </c>
    </row>
    <row r="3" customFormat="false" ht="15" hidden="false" customHeight="true" outlineLevel="0" collapsed="false">
      <c r="B3" s="3" t="s">
        <v>177</v>
      </c>
    </row>
    <row r="4" customFormat="false" ht="15" hidden="false" customHeight="true" outlineLevel="0" collapsed="false">
      <c r="B4" s="18" t="s">
        <v>178</v>
      </c>
      <c r="C4" s="44" t="n">
        <v>980</v>
      </c>
      <c r="D4" s="44" t="n">
        <v>980</v>
      </c>
      <c r="E4" s="44" t="n">
        <v>980</v>
      </c>
    </row>
    <row r="6" customFormat="false" ht="15" hidden="false" customHeight="true" outlineLevel="0" collapsed="false">
      <c r="A6" s="4" t="s">
        <v>2</v>
      </c>
      <c r="B6" s="4" t="s">
        <v>179</v>
      </c>
      <c r="C6" s="4" t="s">
        <v>180</v>
      </c>
      <c r="D6" s="4" t="s">
        <v>181</v>
      </c>
      <c r="E6" s="4" t="s">
        <v>182</v>
      </c>
      <c r="F6" s="4" t="s">
        <v>3</v>
      </c>
    </row>
    <row r="7" customFormat="false" ht="21.75" hidden="false" customHeight="true" outlineLevel="0" collapsed="false">
      <c r="A7" s="5" t="n">
        <v>1</v>
      </c>
      <c r="B7" s="5" t="s">
        <v>183</v>
      </c>
      <c r="C7" s="16" t="n">
        <v>25</v>
      </c>
      <c r="D7" s="16" t="n">
        <v>25</v>
      </c>
      <c r="E7" s="16" t="n">
        <v>5</v>
      </c>
      <c r="F7" s="7" t="s">
        <v>184</v>
      </c>
    </row>
    <row r="8" customFormat="false" ht="21.75" hidden="false" customHeight="true" outlineLevel="0" collapsed="false">
      <c r="A8" s="5" t="n">
        <v>2</v>
      </c>
      <c r="B8" s="5" t="s">
        <v>18</v>
      </c>
      <c r="C8" s="16" t="n">
        <v>24</v>
      </c>
      <c r="D8" s="16" t="n">
        <v>16</v>
      </c>
      <c r="E8" s="16" t="n">
        <v>4</v>
      </c>
      <c r="F8" s="7" t="s">
        <v>185</v>
      </c>
    </row>
    <row r="9" customFormat="false" ht="21.75" hidden="false" customHeight="true" outlineLevel="0" collapsed="false">
      <c r="A9" s="5" t="n">
        <v>3</v>
      </c>
      <c r="B9" s="5" t="s">
        <v>186</v>
      </c>
      <c r="C9" s="16" t="n">
        <v>8</v>
      </c>
      <c r="D9" s="16" t="n">
        <v>8</v>
      </c>
      <c r="E9" s="16" t="n">
        <v>0</v>
      </c>
      <c r="F9" s="7" t="s">
        <v>187</v>
      </c>
    </row>
    <row r="10" customFormat="false" ht="21.75" hidden="false" customHeight="true" outlineLevel="0" collapsed="false">
      <c r="A10" s="5" t="n">
        <v>4</v>
      </c>
      <c r="B10" s="5" t="s">
        <v>188</v>
      </c>
      <c r="C10" s="16" t="n">
        <v>1</v>
      </c>
      <c r="D10" s="16" t="n">
        <v>1</v>
      </c>
      <c r="E10" s="16" t="n">
        <v>1</v>
      </c>
      <c r="F10" s="7" t="s">
        <v>189</v>
      </c>
    </row>
    <row r="11" customFormat="false" ht="21.75" hidden="false" customHeight="true" outlineLevel="0" collapsed="false">
      <c r="A11" s="5" t="n">
        <v>5</v>
      </c>
      <c r="B11" s="5" t="s">
        <v>190</v>
      </c>
      <c r="C11" s="16" t="n">
        <v>20</v>
      </c>
      <c r="D11" s="16" t="n">
        <v>0</v>
      </c>
      <c r="E11" s="16" t="n">
        <v>0</v>
      </c>
      <c r="F11" s="7" t="s">
        <v>191</v>
      </c>
    </row>
    <row r="12" customFormat="false" ht="21.75" hidden="false" customHeight="true" outlineLevel="0" collapsed="false">
      <c r="A12" s="5" t="n">
        <v>6</v>
      </c>
      <c r="B12" s="5" t="s">
        <v>29</v>
      </c>
      <c r="C12" s="16" t="n">
        <v>10</v>
      </c>
      <c r="D12" s="16" t="n">
        <v>0</v>
      </c>
      <c r="E12" s="16" t="n">
        <v>0</v>
      </c>
      <c r="F12" s="7" t="s">
        <v>192</v>
      </c>
    </row>
    <row r="13" customFormat="false" ht="15" hidden="false" customHeight="true" outlineLevel="0" collapsed="false">
      <c r="A13" s="5" t="n">
        <v>7</v>
      </c>
      <c r="B13" s="5" t="s">
        <v>31</v>
      </c>
      <c r="C13" s="16" t="n">
        <v>3</v>
      </c>
      <c r="D13" s="16" t="n">
        <v>3</v>
      </c>
      <c r="E13" s="16" t="n">
        <v>0</v>
      </c>
      <c r="F13" s="7" t="s">
        <v>193</v>
      </c>
    </row>
    <row r="14" customFormat="false" ht="21.75" hidden="false" customHeight="true" outlineLevel="0" collapsed="false">
      <c r="A14" s="5" t="n">
        <v>8</v>
      </c>
      <c r="B14" s="5" t="s">
        <v>33</v>
      </c>
      <c r="C14" s="16" t="n">
        <v>5</v>
      </c>
      <c r="D14" s="16" t="n">
        <v>0</v>
      </c>
      <c r="E14" s="16" t="n">
        <v>0</v>
      </c>
      <c r="F14" s="7" t="s">
        <v>194</v>
      </c>
    </row>
    <row r="15" customFormat="false" ht="15" hidden="false" customHeight="true" outlineLevel="0" collapsed="false">
      <c r="B15" s="13" t="s">
        <v>195</v>
      </c>
      <c r="C15" s="44" t="n">
        <v>24</v>
      </c>
      <c r="D15" s="44" t="n">
        <v>24</v>
      </c>
      <c r="E15" s="44" t="n">
        <v>12</v>
      </c>
      <c r="F15" s="33" t="s">
        <v>196</v>
      </c>
    </row>
    <row r="17" customFormat="false" ht="15" hidden="false" customHeight="true" outlineLevel="0" collapsed="false">
      <c r="B17" s="11" t="s">
        <v>197</v>
      </c>
    </row>
    <row r="18" customFormat="false" ht="15" hidden="false" customHeight="true" outlineLevel="0" collapsed="false">
      <c r="A18" s="4" t="s">
        <v>2</v>
      </c>
      <c r="B18" s="4" t="s">
        <v>111</v>
      </c>
      <c r="C18" s="4" t="s">
        <v>180</v>
      </c>
      <c r="D18" s="4" t="s">
        <v>181</v>
      </c>
      <c r="E18" s="4" t="s">
        <v>182</v>
      </c>
      <c r="F18" s="4" t="s">
        <v>3</v>
      </c>
    </row>
    <row r="19" customFormat="false" ht="15" hidden="false" customHeight="true" outlineLevel="0" collapsed="false">
      <c r="A19" s="5" t="n">
        <v>1</v>
      </c>
      <c r="B19" s="5" t="s">
        <v>138</v>
      </c>
      <c r="C19" s="17" t="n">
        <f aca="false">(SUM(C7:C9)+SUM(C11:C14)+C10*Asumsi!$C$12)*Asumsi!$C$6+Asumsi!$C$18*Asumsi!$C$6/12</f>
        <v>1728700</v>
      </c>
      <c r="D19" s="17" t="n">
        <f aca="false">(SUM(D7:D9)+SUM(D11:D14)+D10*Asumsi!$C$12)*Asumsi!$C$6+Asumsi!$C$18*Asumsi!$C$6/12</f>
        <v>967600</v>
      </c>
      <c r="E19" s="17" t="n">
        <f aca="false">(SUM(E7:E9)+SUM(E11:E14)+E10*Asumsi!$C$12)*Asumsi!$C$6+Asumsi!$C$18*Asumsi!$C$6/12</f>
        <v>206500</v>
      </c>
      <c r="F19" s="41" t="s">
        <v>198</v>
      </c>
    </row>
    <row r="20" customFormat="false" ht="15" hidden="false" customHeight="true" outlineLevel="0" collapsed="false">
      <c r="A20" s="5" t="n">
        <v>2</v>
      </c>
      <c r="B20" s="5" t="s">
        <v>140</v>
      </c>
      <c r="C20" s="17" t="n">
        <f aca="false">C15*Asumsi!$C$8/12</f>
        <v>150000</v>
      </c>
      <c r="D20" s="17" t="n">
        <f aca="false">D15*Asumsi!$C$8/12</f>
        <v>150000</v>
      </c>
      <c r="E20" s="17" t="n">
        <f aca="false">E15*Asumsi!$C$8/12</f>
        <v>75000</v>
      </c>
      <c r="F20" s="41" t="s">
        <v>199</v>
      </c>
    </row>
    <row r="21" customFormat="false" ht="15" hidden="false" customHeight="true" outlineLevel="0" collapsed="false">
      <c r="A21" s="5" t="n">
        <v>3</v>
      </c>
      <c r="B21" s="5" t="s">
        <v>38</v>
      </c>
      <c r="C21" s="17" t="n">
        <f aca="false">(C19+C20)*Asumsi!$C$19</f>
        <v>187870</v>
      </c>
      <c r="D21" s="17" t="n">
        <f aca="false">(D19+D20)*Asumsi!$C$19</f>
        <v>111760</v>
      </c>
      <c r="E21" s="17" t="n">
        <f aca="false">(E19+E20)*Asumsi!$C$19</f>
        <v>28150</v>
      </c>
      <c r="F21" s="41" t="s">
        <v>200</v>
      </c>
    </row>
    <row r="22" customFormat="false" ht="15" hidden="false" customHeight="true" outlineLevel="0" collapsed="false">
      <c r="B22" s="37" t="s">
        <v>143</v>
      </c>
      <c r="C22" s="38" t="n">
        <f aca="false">SUM(C19:C21)</f>
        <v>2066570</v>
      </c>
      <c r="D22" s="38" t="n">
        <f aca="false">SUM(D19:D21)</f>
        <v>1229360</v>
      </c>
      <c r="E22" s="38" t="n">
        <f aca="false">SUM(E19:E21)</f>
        <v>309650</v>
      </c>
    </row>
    <row r="23" customFormat="false" ht="15" hidden="false" customHeight="true" outlineLevel="0" collapsed="false">
      <c r="B23" s="13" t="s">
        <v>144</v>
      </c>
      <c r="C23" s="45" t="n">
        <f aca="false">C22*12</f>
        <v>24798840</v>
      </c>
      <c r="D23" s="45" t="n">
        <f aca="false">D22*12</f>
        <v>14752320</v>
      </c>
      <c r="E23" s="45" t="n">
        <f aca="false">E22*12</f>
        <v>3715800</v>
      </c>
    </row>
    <row r="24" customFormat="false" ht="15" hidden="false" customHeight="true" outlineLevel="0" collapsed="false">
      <c r="B24" s="13" t="s">
        <v>201</v>
      </c>
      <c r="C24" s="46" t="n">
        <f aca="false">1+(1+Asumsi!$C$20)+(1+Asumsi!$C$20)^2</f>
        <v>3.1525</v>
      </c>
      <c r="D24" s="46" t="n">
        <f aca="false">1+(1+Asumsi!$C$20)+(1+Asumsi!$C$20)^2</f>
        <v>3.1525</v>
      </c>
      <c r="E24" s="46" t="n">
        <f aca="false">1+(1+Asumsi!$C$20)+(1+Asumsi!$C$20)^2</f>
        <v>3.1525</v>
      </c>
    </row>
    <row r="25" customFormat="false" ht="15" hidden="false" customHeight="true" outlineLevel="0" collapsed="false">
      <c r="A25" s="22"/>
      <c r="B25" s="23" t="s">
        <v>202</v>
      </c>
      <c r="C25" s="24" t="n">
        <f aca="false">C23*C24+'Modal Awal'!$E$20</f>
        <v>78532343.1</v>
      </c>
      <c r="D25" s="24" t="n">
        <f aca="false">D23*D24+'Modal Awal'!$E$20</f>
        <v>46860688.8</v>
      </c>
      <c r="E25" s="24" t="n">
        <f aca="false">E23*E24+'Modal Awal'!$E$20</f>
        <v>12068059.5</v>
      </c>
      <c r="F25" s="22"/>
    </row>
    <row r="26" customFormat="false" ht="15" hidden="false" customHeight="true" outlineLevel="0" collapsed="false">
      <c r="B26" s="13" t="s">
        <v>203</v>
      </c>
      <c r="C26" s="47" t="n">
        <v>50000000</v>
      </c>
    </row>
    <row r="27" customFormat="false" ht="15" hidden="false" customHeight="true" outlineLevel="0" collapsed="false">
      <c r="B27" s="18" t="s">
        <v>204</v>
      </c>
      <c r="C27" s="48" t="str">
        <f aca="false">IF(C25&lt;=$C$26,"MEMENUHI","MELEBIHI")</f>
        <v>MELEBIHI</v>
      </c>
      <c r="D27" s="48" t="str">
        <f aca="false">IF(D25&lt;=$C$26,"MEMENUHI","MELEBIHI")</f>
        <v>MEMENUHI</v>
      </c>
      <c r="E27" s="48" t="str">
        <f aca="false">IF(E25&lt;=$C$26,"MEMENUHI","MELEBIHI")</f>
        <v>MEMENUHI</v>
      </c>
    </row>
    <row r="28" customFormat="false" ht="15" hidden="false" customHeight="true" outlineLevel="0" collapsed="false">
      <c r="B28" s="13" t="s">
        <v>205</v>
      </c>
      <c r="C28" s="45" t="n">
        <f aca="false">$C$26-C25</f>
        <v>-28532343.1</v>
      </c>
      <c r="D28" s="45" t="n">
        <f aca="false">$C$26-D25</f>
        <v>3139311.2</v>
      </c>
      <c r="E28" s="45" t="n">
        <f aca="false">$C$26-E25</f>
        <v>37931940.5</v>
      </c>
    </row>
    <row r="30" customFormat="false" ht="15" hidden="false" customHeight="true" outlineLevel="0" collapsed="false">
      <c r="B30" s="11" t="s">
        <v>206</v>
      </c>
    </row>
    <row r="31" customFormat="false" ht="30" hidden="false" customHeight="true" outlineLevel="0" collapsed="false">
      <c r="B31" s="42" t="s">
        <v>207</v>
      </c>
      <c r="C31" s="42"/>
      <c r="D31" s="42"/>
      <c r="E31" s="42"/>
      <c r="F31" s="42"/>
    </row>
    <row r="32" customFormat="false" ht="30" hidden="false" customHeight="true" outlineLevel="0" collapsed="false">
      <c r="B32" s="42" t="s">
        <v>208</v>
      </c>
      <c r="C32" s="42"/>
      <c r="D32" s="42"/>
      <c r="E32" s="42"/>
      <c r="F32" s="42"/>
    </row>
    <row r="33" customFormat="false" ht="30" hidden="false" customHeight="true" outlineLevel="0" collapsed="false">
      <c r="B33" s="42" t="s">
        <v>209</v>
      </c>
      <c r="C33" s="42"/>
      <c r="D33" s="42"/>
      <c r="E33" s="42"/>
      <c r="F33" s="42"/>
    </row>
  </sheetData>
  <mergeCells count="3">
    <mergeCell ref="B31:F31"/>
    <mergeCell ref="B32:F32"/>
    <mergeCell ref="B33:F33"/>
  </mergeCells>
  <printOptions headings="false" gridLines="false" gridLinesSet="true" horizontalCentered="tru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&amp;LEstimasi Anggaran LHP AKPOL&amp;R&amp;P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2026-09-09T00:41:57Z</dcterms:created>
  <dc:creator>openpyxl</dc:creator>
  <dc:description/>
  <dc:language>en-US</dc:language>
  <cp:lastModifiedBy/>
  <dcterms:modified xsi:type="dcterms:W3CDTF">2026-09-12T01:14:52Z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